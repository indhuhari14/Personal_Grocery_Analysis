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8EF0778C-80B4-4506-8950-9DDFF40B28DA}" xr6:coauthVersionLast="47" xr6:coauthVersionMax="47" xr10:uidLastSave="{00000000-0000-0000-0000-000000000000}"/>
  <bookViews>
    <workbookView xWindow="0" yWindow="0" windowWidth="16384" windowHeight="8192" tabRatio="500" firstSheet="2" activeTab="2" xr2:uid="{00000000-000D-0000-FFFF-FFFF00000000}"/>
  </bookViews>
  <sheets>
    <sheet name="Dashboard" sheetId="1" r:id="rId1"/>
    <sheet name="Data" sheetId="2" r:id="rId2"/>
    <sheet name="Category Summary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3" l="1"/>
  <c r="B16" i="3"/>
  <c r="C10" i="3"/>
  <c r="B10" i="3"/>
  <c r="C9" i="3"/>
  <c r="B9" i="3"/>
  <c r="C8" i="3"/>
  <c r="B8" i="3"/>
  <c r="E8" i="3" s="1"/>
  <c r="C7" i="3"/>
  <c r="B7" i="3"/>
  <c r="C6" i="3"/>
  <c r="B6" i="3"/>
  <c r="C5" i="3"/>
  <c r="B5" i="3"/>
  <c r="G46" i="2"/>
  <c r="F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3" i="2"/>
  <c r="I2" i="2"/>
  <c r="H2" i="2"/>
  <c r="H46" i="2" s="1"/>
  <c r="I46" i="2" s="1"/>
  <c r="C10" i="1"/>
  <c r="C9" i="1"/>
  <c r="C8" i="1"/>
  <c r="C7" i="1"/>
  <c r="C6" i="1"/>
  <c r="C5" i="1"/>
  <c r="C4" i="1"/>
  <c r="B11" i="3" l="1"/>
  <c r="C11" i="3"/>
  <c r="D11" i="3" s="1"/>
  <c r="E11" i="3" s="1"/>
  <c r="D5" i="3"/>
  <c r="E5" i="3" s="1"/>
  <c r="D6" i="3"/>
  <c r="E6" i="3" s="1"/>
  <c r="D7" i="3"/>
  <c r="E7" i="3" s="1"/>
  <c r="D8" i="3"/>
  <c r="D9" i="3"/>
  <c r="E9" i="3" s="1"/>
  <c r="D10" i="3"/>
  <c r="E10" i="3" s="1"/>
</calcChain>
</file>

<file path=xl/sharedStrings.xml><?xml version="1.0" encoding="utf-8"?>
<sst xmlns="http://schemas.openxmlformats.org/spreadsheetml/2006/main" count="259" uniqueCount="96">
  <si>
    <t>Grocery Budget vs Actual — July 2026</t>
  </si>
  <si>
    <t>Chennai household grocery run</t>
  </si>
  <si>
    <t>Estimated Total</t>
  </si>
  <si>
    <t>Actual Total</t>
  </si>
  <si>
    <t>Total Overspend</t>
  </si>
  <si>
    <t>% Over Budget</t>
  </si>
  <si>
    <t>Price-Hike Impact (planned items)</t>
  </si>
  <si>
    <t>Unplanned Item Spend</t>
  </si>
  <si>
    <t>Items Bought Not on List</t>
  </si>
  <si>
    <t>Read: 'Category Summary' for the chart breakdown, 'Data' for line-item detail.</t>
  </si>
  <si>
    <t>Item</t>
  </si>
  <si>
    <t>Category</t>
  </si>
  <si>
    <t>Status</t>
  </si>
  <si>
    <t>Est. Qty</t>
  </si>
  <si>
    <t>Actual Qty</t>
  </si>
  <si>
    <t>Est. Price (₹)</t>
  </si>
  <si>
    <t>Actual Price (₹)</t>
  </si>
  <si>
    <t>Variance (₹)</t>
  </si>
  <si>
    <t>Variance %</t>
  </si>
  <si>
    <t>Turmeric Powder</t>
  </si>
  <si>
    <t>Spices &amp; Masala</t>
  </si>
  <si>
    <t>Planned</t>
  </si>
  <si>
    <t>200g</t>
  </si>
  <si>
    <t>Rice Bran Oil</t>
  </si>
  <si>
    <t>Oil</t>
  </si>
  <si>
    <t>5l</t>
  </si>
  <si>
    <t>Pooja Oil</t>
  </si>
  <si>
    <t>3l</t>
  </si>
  <si>
    <t>Mustard seeds</t>
  </si>
  <si>
    <t>Pepper</t>
  </si>
  <si>
    <t>50g</t>
  </si>
  <si>
    <t>100g</t>
  </si>
  <si>
    <t>Jeera</t>
  </si>
  <si>
    <t>Fenugreek</t>
  </si>
  <si>
    <t>Big Jeera</t>
  </si>
  <si>
    <t>Urad Dhal</t>
  </si>
  <si>
    <t>Grains &amp; Pulses</t>
  </si>
  <si>
    <t>2kg</t>
  </si>
  <si>
    <t>Toor Dhal</t>
  </si>
  <si>
    <t>Idli Rice</t>
  </si>
  <si>
    <t>3kg</t>
  </si>
  <si>
    <t>Basmathi Rice</t>
  </si>
  <si>
    <t>Detergent Liq</t>
  </si>
  <si>
    <t>Cleaning &amp; Household</t>
  </si>
  <si>
    <t>2l</t>
  </si>
  <si>
    <t>Paste</t>
  </si>
  <si>
    <t>Personal Care</t>
  </si>
  <si>
    <t>1</t>
  </si>
  <si>
    <t>Dove</t>
  </si>
  <si>
    <t>Cinthol</t>
  </si>
  <si>
    <t>4</t>
  </si>
  <si>
    <t>2</t>
  </si>
  <si>
    <t>Lizol</t>
  </si>
  <si>
    <t>Biriyani Masala</t>
  </si>
  <si>
    <t>Fish curry masala</t>
  </si>
  <si>
    <t>Garam masala</t>
  </si>
  <si>
    <t>Sambar Powder</t>
  </si>
  <si>
    <t>Chicken Masala</t>
  </si>
  <si>
    <t>Kashmiri Red Chilli Powder</t>
  </si>
  <si>
    <t>Ghee</t>
  </si>
  <si>
    <t>LG</t>
  </si>
  <si>
    <t>Vim</t>
  </si>
  <si>
    <t>750ml</t>
  </si>
  <si>
    <t>100ml</t>
  </si>
  <si>
    <t>Puli</t>
  </si>
  <si>
    <t>1kg</t>
  </si>
  <si>
    <t>Jaggery</t>
  </si>
  <si>
    <t>Unplanned</t>
  </si>
  <si>
    <t>0</t>
  </si>
  <si>
    <t>500g</t>
  </si>
  <si>
    <t>Purple Paste</t>
  </si>
  <si>
    <t>Pottu Kadal</t>
  </si>
  <si>
    <t>Peanut</t>
  </si>
  <si>
    <t>Face Towel</t>
  </si>
  <si>
    <t>Kitchen Towel</t>
  </si>
  <si>
    <t>Scrub steel</t>
  </si>
  <si>
    <t>Normal Scrub</t>
  </si>
  <si>
    <t>Garlic Pickle</t>
  </si>
  <si>
    <t>Roll on</t>
  </si>
  <si>
    <t>Pasta</t>
  </si>
  <si>
    <t>400g</t>
  </si>
  <si>
    <t>Ball</t>
  </si>
  <si>
    <t>Others</t>
  </si>
  <si>
    <t>Red Chilli Long</t>
  </si>
  <si>
    <t>Bedgi Chilli</t>
  </si>
  <si>
    <t>Sugar</t>
  </si>
  <si>
    <t>Cardamom</t>
  </si>
  <si>
    <t>10g</t>
  </si>
  <si>
    <t>Corieander Powder</t>
  </si>
  <si>
    <t>TOTAL</t>
  </si>
  <si>
    <t>Category-wise Spend Analysis</t>
  </si>
  <si>
    <t>June 2026 Grocery Run — Chennai</t>
  </si>
  <si>
    <t>Est. Total (₹)</t>
  </si>
  <si>
    <t>Actual Total (₹)</t>
  </si>
  <si>
    <t>Planned vs Unplanned Spend</t>
  </si>
  <si>
    <t>Actual Spend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</si>
</sst>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.0%"/>
    <numFmt numFmtId="166" formatCode="\₹#,##0;&quot;(₹&quot;#,##0\)"/>
  </numFmts>
  <fonts count="9">
    <font>
      <sz val="11"/>
      <color theme="1"/>
      <name val="Calibri"/>
      <family val="2"/>
      <charset val="1"/>
    </font>
    <font>
      <b/>
      <sz val="18"/>
      <color rgb="FF1F4E5F"/>
      <name val="Arial"/>
      <charset val="1"/>
    </font>
    <font>
      <i/>
      <sz val="10"/>
      <color rgb="FF666666"/>
      <name val="Arial"/>
      <charset val="1"/>
    </font>
    <font>
      <b/>
      <sz val="11"/>
      <name val="Arial"/>
      <charset val="1"/>
    </font>
    <font>
      <b/>
      <sz val="12"/>
      <color rgb="FF1F4E5F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6"/>
      <color rgb="FF1F4E5F"/>
      <name val="Arial"/>
      <charset val="1"/>
    </font>
    <font>
      <b/>
      <sz val="12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AF3EF"/>
        <bgColor rgb="FFF9F9F9"/>
      </patternFill>
    </fill>
    <fill>
      <patternFill patternType="solid">
        <fgColor rgb="FFFCEEEE"/>
        <bgColor rgb="FFF9F9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1" xfId="0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1" fontId="4" fillId="0" borderId="1" xfId="0" applyNumberFormat="1" applyFont="1" applyBorder="1"/>
    <xf numFmtId="0" fontId="5" fillId="2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164" fontId="6" fillId="3" borderId="1" xfId="0" applyNumberFormat="1" applyFont="1" applyFill="1" applyBorder="1"/>
    <xf numFmtId="166" fontId="6" fillId="3" borderId="1" xfId="0" applyNumberFormat="1" applyFont="1" applyFill="1" applyBorder="1"/>
    <xf numFmtId="165" fontId="6" fillId="3" borderId="1" xfId="0" applyNumberFormat="1" applyFont="1" applyFill="1" applyBorder="1"/>
    <xf numFmtId="0" fontId="6" fillId="4" borderId="1" xfId="0" applyFont="1" applyFill="1" applyBorder="1"/>
    <xf numFmtId="164" fontId="6" fillId="4" borderId="1" xfId="0" applyNumberFormat="1" applyFont="1" applyFill="1" applyBorder="1"/>
    <xf numFmtId="166" fontId="6" fillId="4" borderId="1" xfId="0" applyNumberFormat="1" applyFont="1" applyFill="1" applyBorder="1"/>
    <xf numFmtId="165" fontId="6" fillId="4" borderId="1" xfId="0" applyNumberFormat="1" applyFont="1" applyFill="1" applyBorder="1"/>
    <xf numFmtId="164" fontId="3" fillId="0" borderId="1" xfId="0" applyNumberFormat="1" applyFont="1" applyBorder="1"/>
    <xf numFmtId="165" fontId="3" fillId="0" borderId="1" xfId="0" applyNumberFormat="1" applyFont="1" applyBorder="1"/>
    <xf numFmtId="0" fontId="7" fillId="0" borderId="0" xfId="0" applyFont="1"/>
    <xf numFmtId="0" fontId="5" fillId="2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165" fontId="6" fillId="0" borderId="1" xfId="0" applyNumberFormat="1" applyFont="1" applyBorder="1"/>
    <xf numFmtId="0" fontId="8" fillId="0" borderId="0" xfId="0" applyFont="1"/>
    <xf numFmtId="0" fontId="5" fillId="2" borderId="1" xfId="0" applyFont="1" applyFill="1" applyBorder="1"/>
    <xf numFmtId="0" fontId="1" fillId="0" borderId="0" xfId="0" applyFont="1" applyAlignment="1">
      <alignment wrapText="1"/>
    </xf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9F9F9"/>
      <rgbColor rgb="FFEAF3E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EEE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Estimated vs Actual Spend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Summary'!B4</c:f>
              <c:strCache>
                <c:ptCount val="1"/>
                <c:pt idx="0">
                  <c:v>Est. Total (₹)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Summary'!$A$5:$A$10</c:f>
              <c:strCache>
                <c:ptCount val="6"/>
                <c:pt idx="0">
                  <c:v>Cleaning &amp; Household</c:v>
                </c:pt>
                <c:pt idx="1">
                  <c:v>Grains &amp; Pulses</c:v>
                </c:pt>
                <c:pt idx="2">
                  <c:v>Oil</c:v>
                </c:pt>
                <c:pt idx="3">
                  <c:v>Others</c:v>
                </c:pt>
                <c:pt idx="4">
                  <c:v>Personal Care</c:v>
                </c:pt>
                <c:pt idx="5">
                  <c:v>Spices &amp; Masala</c:v>
                </c:pt>
              </c:strCache>
            </c:strRef>
          </c:cat>
          <c:val>
            <c:numRef>
              <c:f>'Category Summary'!$B$5:$B$10</c:f>
              <c:numCache>
                <c:formatCode>\₹#,##0</c:formatCode>
                <c:ptCount val="6"/>
                <c:pt idx="0">
                  <c:v>633</c:v>
                </c:pt>
                <c:pt idx="1">
                  <c:v>1493</c:v>
                </c:pt>
                <c:pt idx="2">
                  <c:v>1140</c:v>
                </c:pt>
                <c:pt idx="3">
                  <c:v>0</c:v>
                </c:pt>
                <c:pt idx="4">
                  <c:v>330</c:v>
                </c:pt>
                <c:pt idx="5">
                  <c:v>583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CB-4528-A230-4E1293A10F1D}"/>
            </c:ext>
          </c:extLst>
        </c:ser>
        <c:ser>
          <c:idx val="1"/>
          <c:order val="1"/>
          <c:tx>
            <c:strRef>
              <c:f>'Category Summary'!C4</c:f>
              <c:strCache>
                <c:ptCount val="1"/>
                <c:pt idx="0">
                  <c:v>Actual Total (₹)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'Category Summary'!$A$5:$A$10</c:f>
              <c:strCache>
                <c:ptCount val="6"/>
                <c:pt idx="0">
                  <c:v>Cleaning &amp; Household</c:v>
                </c:pt>
                <c:pt idx="1">
                  <c:v>Grains &amp; Pulses</c:v>
                </c:pt>
                <c:pt idx="2">
                  <c:v>Oil</c:v>
                </c:pt>
                <c:pt idx="3">
                  <c:v>Others</c:v>
                </c:pt>
                <c:pt idx="4">
                  <c:v>Personal Care</c:v>
                </c:pt>
                <c:pt idx="5">
                  <c:v>Spices &amp; Masala</c:v>
                </c:pt>
              </c:strCache>
            </c:strRef>
          </c:cat>
          <c:val>
            <c:numRef>
              <c:f>'Category Summary'!$C$5:$C$10</c:f>
              <c:numCache>
                <c:formatCode>\₹#,##0</c:formatCode>
                <c:ptCount val="6"/>
                <c:pt idx="0">
                  <c:v>929</c:v>
                </c:pt>
                <c:pt idx="1">
                  <c:v>1822</c:v>
                </c:pt>
                <c:pt idx="2">
                  <c:v>1250</c:v>
                </c:pt>
                <c:pt idx="3">
                  <c:v>159</c:v>
                </c:pt>
                <c:pt idx="4">
                  <c:v>477</c:v>
                </c:pt>
                <c:pt idx="5">
                  <c:v>1030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CB-4528-A230-4E1293A10F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32099"/>
        <c:axId val="52315476"/>
      </c:barChart>
      <c:catAx>
        <c:axId val="42320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2315476"/>
        <c:crosses val="autoZero"/>
        <c:auto val="1"/>
        <c:lblAlgn val="ctr"/>
        <c:lblOffset val="100"/>
        <c:noMultiLvlLbl val="0"/>
      </c:catAx>
      <c:valAx>
        <c:axId val="523154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₹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2320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Planned vs Unplanned Spend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'Category Summary'!B15</c:f>
              <c:strCache>
                <c:ptCount val="1"/>
                <c:pt idx="0">
                  <c:v>Actual Spend (₹)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7CFE-496F-BD0A-4D918D549E19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7CFE-496F-BD0A-4D918D549E19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CFE-496F-BD0A-4D918D549E19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CFE-496F-BD0A-4D918D549E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'Category Summary'!$A$16:$A$17</c:f>
              <c:strCache>
                <c:ptCount val="2"/>
                <c:pt idx="0">
                  <c:v>Planned</c:v>
                </c:pt>
                <c:pt idx="1">
                  <c:v>Unplanned</c:v>
                </c:pt>
              </c:strCache>
            </c:strRef>
          </c:cat>
          <c:val>
            <c:numRef>
              <c:f>'Category Summary'!$B$16:$B$17</c:f>
              <c:numCache>
                <c:formatCode>\₹#,##0</c:formatCode>
                <c:ptCount val="2"/>
                <c:pt idx="0">
                  <c:v>4404</c:v>
                </c:pt>
                <c:pt idx="1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FE-496F-BD0A-4D918D549E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130680</xdr:rowOff>
    </xdr:from>
    <xdr:to>
      <xdr:col>6</xdr:col>
      <xdr:colOff>511200</xdr:colOff>
      <xdr:row>37</xdr:row>
      <xdr:rowOff>110880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18</xdr:row>
      <xdr:rowOff>130680</xdr:rowOff>
    </xdr:from>
    <xdr:to>
      <xdr:col>12</xdr:col>
      <xdr:colOff>38880</xdr:colOff>
      <xdr:row>37</xdr:row>
      <xdr:rowOff>110880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showGridLines="0" topLeftCell="A15" zoomScaleNormal="100" workbookViewId="0"/>
  </sheetViews>
  <sheetFormatPr defaultColWidth="8.7109375" defaultRowHeight="15"/>
  <cols>
    <col min="1" max="1" width="34" customWidth="1"/>
    <col min="2" max="2" width="3" customWidth="1"/>
    <col min="3" max="3" width="16" customWidth="1"/>
  </cols>
  <sheetData>
    <row r="1" spans="1:4" ht="44.25" customHeight="1">
      <c r="A1" s="26" t="s">
        <v>0</v>
      </c>
      <c r="B1" s="24"/>
      <c r="C1" s="25"/>
      <c r="D1" s="25"/>
    </row>
    <row r="2" spans="1:4">
      <c r="A2" s="1" t="s">
        <v>1</v>
      </c>
    </row>
    <row r="4" spans="1:4">
      <c r="A4" s="2" t="s">
        <v>2</v>
      </c>
      <c r="C4" s="3">
        <f>Data!F46</f>
        <v>4179</v>
      </c>
    </row>
    <row r="5" spans="1:4">
      <c r="A5" s="2" t="s">
        <v>3</v>
      </c>
      <c r="C5" s="3">
        <f>Data!G46</f>
        <v>5667</v>
      </c>
    </row>
    <row r="6" spans="1:4">
      <c r="A6" s="2" t="s">
        <v>4</v>
      </c>
      <c r="C6" s="3">
        <f>Data!H46</f>
        <v>1488</v>
      </c>
    </row>
    <row r="7" spans="1:4">
      <c r="A7" s="2" t="s">
        <v>5</v>
      </c>
      <c r="C7" s="4">
        <f>Data!H46/Data!F46</f>
        <v>0.35606604450825557</v>
      </c>
    </row>
    <row r="8" spans="1:4">
      <c r="A8" s="2" t="s">
        <v>6</v>
      </c>
      <c r="C8" s="3">
        <f>SUMIF(Data!C:C,"Planned",Data!H:H)</f>
        <v>225</v>
      </c>
    </row>
    <row r="9" spans="1:4">
      <c r="A9" s="2" t="s">
        <v>7</v>
      </c>
      <c r="C9" s="3">
        <f>SUMIF(Data!C:C,"Unplanned",Data!G:G)</f>
        <v>1263</v>
      </c>
    </row>
    <row r="10" spans="1:4">
      <c r="A10" s="2" t="s">
        <v>8</v>
      </c>
      <c r="C10" s="5">
        <f>COUNTIF(Data!C:C,"Unplanned")</f>
        <v>17</v>
      </c>
    </row>
    <row r="13" spans="1:4">
      <c r="A13" s="1" t="s">
        <v>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6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26" customWidth="1"/>
    <col min="2" max="2" width="20" customWidth="1"/>
    <col min="3" max="3" width="12" customWidth="1"/>
    <col min="4" max="4" width="10" customWidth="1"/>
    <col min="5" max="5" width="11" customWidth="1"/>
    <col min="6" max="6" width="13" customWidth="1"/>
    <col min="7" max="7" width="14" customWidth="1"/>
    <col min="8" max="8" width="13" customWidth="1"/>
    <col min="9" max="9" width="11" customWidth="1"/>
  </cols>
  <sheetData>
    <row r="1" spans="1:9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  <c r="I1" s="6" t="s">
        <v>18</v>
      </c>
    </row>
    <row r="2" spans="1:9">
      <c r="A2" s="7" t="s">
        <v>19</v>
      </c>
      <c r="B2" s="7" t="s">
        <v>20</v>
      </c>
      <c r="C2" s="7" t="s">
        <v>21</v>
      </c>
      <c r="D2" s="7" t="s">
        <v>22</v>
      </c>
      <c r="E2" s="7" t="s">
        <v>22</v>
      </c>
      <c r="F2" s="8">
        <v>50</v>
      </c>
      <c r="G2" s="8">
        <v>56</v>
      </c>
      <c r="H2" s="9">
        <f>G2-F2</f>
        <v>6</v>
      </c>
      <c r="I2" s="10">
        <f>IF(F2=0,"",(G2-F2)/F2)</f>
        <v>0.12</v>
      </c>
    </row>
    <row r="3" spans="1:9">
      <c r="A3" s="7" t="s">
        <v>23</v>
      </c>
      <c r="B3" s="7" t="s">
        <v>24</v>
      </c>
      <c r="C3" s="7" t="s">
        <v>21</v>
      </c>
      <c r="D3" s="7" t="s">
        <v>25</v>
      </c>
      <c r="E3" s="7" t="s">
        <v>25</v>
      </c>
      <c r="F3" s="8">
        <v>750</v>
      </c>
      <c r="G3" s="8">
        <v>750</v>
      </c>
      <c r="H3" s="9">
        <f>G3-F3</f>
        <v>0</v>
      </c>
      <c r="I3" s="10">
        <f>IF(F3=0,"",(G3-F3)/F3)</f>
        <v>0</v>
      </c>
    </row>
    <row r="4" spans="1:9">
      <c r="A4" s="7" t="s">
        <v>26</v>
      </c>
      <c r="B4" s="7" t="s">
        <v>24</v>
      </c>
      <c r="C4" s="7" t="s">
        <v>21</v>
      </c>
      <c r="D4" s="7" t="s">
        <v>27</v>
      </c>
      <c r="E4" s="7" t="s">
        <v>27</v>
      </c>
      <c r="F4" s="8">
        <v>390</v>
      </c>
      <c r="G4" s="8">
        <v>500</v>
      </c>
      <c r="H4" s="9">
        <f>G4-F4</f>
        <v>110</v>
      </c>
      <c r="I4" s="10">
        <f>IF(F4=0,"",(G4-F4)/F4)</f>
        <v>0.28205128205128205</v>
      </c>
    </row>
    <row r="5" spans="1:9">
      <c r="A5" s="7" t="s">
        <v>28</v>
      </c>
      <c r="B5" s="7" t="s">
        <v>20</v>
      </c>
      <c r="C5" s="7" t="s">
        <v>21</v>
      </c>
      <c r="D5" s="7" t="s">
        <v>22</v>
      </c>
      <c r="E5" s="7" t="s">
        <v>22</v>
      </c>
      <c r="F5" s="8">
        <v>40</v>
      </c>
      <c r="G5" s="8">
        <v>45</v>
      </c>
      <c r="H5" s="9">
        <f>G5-F5</f>
        <v>5</v>
      </c>
      <c r="I5" s="10">
        <f>IF(F5=0,"",(G5-F5)/F5)</f>
        <v>0.125</v>
      </c>
    </row>
    <row r="6" spans="1:9">
      <c r="A6" s="7" t="s">
        <v>29</v>
      </c>
      <c r="B6" s="7" t="s">
        <v>20</v>
      </c>
      <c r="C6" s="7" t="s">
        <v>21</v>
      </c>
      <c r="D6" s="7" t="s">
        <v>30</v>
      </c>
      <c r="E6" s="7" t="s">
        <v>31</v>
      </c>
      <c r="F6" s="8">
        <v>74</v>
      </c>
      <c r="G6" s="8">
        <v>140</v>
      </c>
      <c r="H6" s="9">
        <f>G6-F6</f>
        <v>66</v>
      </c>
      <c r="I6" s="10">
        <f>IF(F6=0,"",(G6-F6)/F6)</f>
        <v>0.89189189189189189</v>
      </c>
    </row>
    <row r="7" spans="1:9">
      <c r="A7" s="7" t="s">
        <v>32</v>
      </c>
      <c r="B7" s="7" t="s">
        <v>20</v>
      </c>
      <c r="C7" s="7" t="s">
        <v>21</v>
      </c>
      <c r="D7" s="7" t="s">
        <v>30</v>
      </c>
      <c r="E7" s="7" t="s">
        <v>31</v>
      </c>
      <c r="F7" s="8">
        <v>30</v>
      </c>
      <c r="G7" s="8">
        <v>42</v>
      </c>
      <c r="H7" s="9">
        <f>G7-F7</f>
        <v>12</v>
      </c>
      <c r="I7" s="10">
        <f>IF(F7=0,"",(G7-F7)/F7)</f>
        <v>0.4</v>
      </c>
    </row>
    <row r="8" spans="1:9">
      <c r="A8" s="7" t="s">
        <v>33</v>
      </c>
      <c r="B8" s="7" t="s">
        <v>20</v>
      </c>
      <c r="C8" s="7" t="s">
        <v>21</v>
      </c>
      <c r="D8" s="7" t="s">
        <v>30</v>
      </c>
      <c r="E8" s="7" t="s">
        <v>31</v>
      </c>
      <c r="F8" s="8">
        <v>30</v>
      </c>
      <c r="G8" s="8">
        <v>45</v>
      </c>
      <c r="H8" s="9">
        <f>G8-F8</f>
        <v>15</v>
      </c>
      <c r="I8" s="10">
        <f>IF(F8=0,"",(G8-F8)/F8)</f>
        <v>0.5</v>
      </c>
    </row>
    <row r="9" spans="1:9">
      <c r="A9" s="7" t="s">
        <v>34</v>
      </c>
      <c r="B9" s="7" t="s">
        <v>20</v>
      </c>
      <c r="C9" s="7" t="s">
        <v>21</v>
      </c>
      <c r="D9" s="7" t="s">
        <v>31</v>
      </c>
      <c r="E9" s="7" t="s">
        <v>31</v>
      </c>
      <c r="F9" s="8">
        <v>59</v>
      </c>
      <c r="G9" s="8">
        <v>44</v>
      </c>
      <c r="H9" s="9">
        <f>G9-F9</f>
        <v>-15</v>
      </c>
      <c r="I9" s="10">
        <f>IF(F9=0,"",(G9-F9)/F9)</f>
        <v>-0.25423728813559321</v>
      </c>
    </row>
    <row r="10" spans="1:9">
      <c r="A10" s="7" t="s">
        <v>35</v>
      </c>
      <c r="B10" s="7" t="s">
        <v>36</v>
      </c>
      <c r="C10" s="7" t="s">
        <v>21</v>
      </c>
      <c r="D10" s="7" t="s">
        <v>37</v>
      </c>
      <c r="E10" s="7" t="s">
        <v>37</v>
      </c>
      <c r="F10" s="8">
        <v>290</v>
      </c>
      <c r="G10" s="8">
        <v>222</v>
      </c>
      <c r="H10" s="9">
        <f>G10-F10</f>
        <v>-68</v>
      </c>
      <c r="I10" s="10">
        <f>IF(F10=0,"",(G10-F10)/F10)</f>
        <v>-0.23448275862068965</v>
      </c>
    </row>
    <row r="11" spans="1:9">
      <c r="A11" s="7" t="s">
        <v>38</v>
      </c>
      <c r="B11" s="7" t="s">
        <v>36</v>
      </c>
      <c r="C11" s="7" t="s">
        <v>21</v>
      </c>
      <c r="D11" s="7" t="s">
        <v>37</v>
      </c>
      <c r="E11" s="7" t="s">
        <v>37</v>
      </c>
      <c r="F11" s="8">
        <v>300</v>
      </c>
      <c r="G11" s="8">
        <v>300</v>
      </c>
      <c r="H11" s="9">
        <f>G11-F11</f>
        <v>0</v>
      </c>
      <c r="I11" s="10">
        <f>IF(F11=0,"",(G11-F11)/F11)</f>
        <v>0</v>
      </c>
    </row>
    <row r="12" spans="1:9">
      <c r="A12" s="7" t="s">
        <v>39</v>
      </c>
      <c r="B12" s="7" t="s">
        <v>36</v>
      </c>
      <c r="C12" s="7" t="s">
        <v>21</v>
      </c>
      <c r="D12" s="7" t="s">
        <v>40</v>
      </c>
      <c r="E12" s="7" t="s">
        <v>40</v>
      </c>
      <c r="F12" s="8">
        <v>180</v>
      </c>
      <c r="G12" s="8">
        <v>134</v>
      </c>
      <c r="H12" s="9">
        <f>G12-F12</f>
        <v>-46</v>
      </c>
      <c r="I12" s="10">
        <f>IF(F12=0,"",(G12-F12)/F12)</f>
        <v>-0.25555555555555554</v>
      </c>
    </row>
    <row r="13" spans="1:9">
      <c r="A13" s="7" t="s">
        <v>41</v>
      </c>
      <c r="B13" s="7" t="s">
        <v>36</v>
      </c>
      <c r="C13" s="7" t="s">
        <v>21</v>
      </c>
      <c r="D13" s="7" t="s">
        <v>37</v>
      </c>
      <c r="E13" s="7" t="s">
        <v>37</v>
      </c>
      <c r="F13" s="8">
        <v>180</v>
      </c>
      <c r="G13" s="8">
        <v>223</v>
      </c>
      <c r="H13" s="9">
        <f>G13-F13</f>
        <v>43</v>
      </c>
      <c r="I13" s="10">
        <f>IF(F13=0,"",(G13-F13)/F13)</f>
        <v>0.2388888888888889</v>
      </c>
    </row>
    <row r="14" spans="1:9">
      <c r="A14" s="7" t="s">
        <v>42</v>
      </c>
      <c r="B14" s="7" t="s">
        <v>43</v>
      </c>
      <c r="C14" s="7" t="s">
        <v>21</v>
      </c>
      <c r="D14" s="7" t="s">
        <v>44</v>
      </c>
      <c r="E14" s="7" t="s">
        <v>44</v>
      </c>
      <c r="F14" s="8">
        <v>184</v>
      </c>
      <c r="G14" s="8">
        <v>210</v>
      </c>
      <c r="H14" s="9">
        <f>G14-F14</f>
        <v>26</v>
      </c>
      <c r="I14" s="10">
        <f>IF(F14=0,"",(G14-F14)/F14)</f>
        <v>0.14130434782608695</v>
      </c>
    </row>
    <row r="15" spans="1:9">
      <c r="A15" s="7" t="s">
        <v>45</v>
      </c>
      <c r="B15" s="7" t="s">
        <v>46</v>
      </c>
      <c r="C15" s="7" t="s">
        <v>21</v>
      </c>
      <c r="D15" s="7" t="s">
        <v>47</v>
      </c>
      <c r="E15" s="7" t="s">
        <v>47</v>
      </c>
      <c r="F15" s="8">
        <v>100</v>
      </c>
      <c r="G15" s="8">
        <v>133</v>
      </c>
      <c r="H15" s="9">
        <f>G15-F15</f>
        <v>33</v>
      </c>
      <c r="I15" s="10">
        <f>IF(F15=0,"",(G15-F15)/F15)</f>
        <v>0.33</v>
      </c>
    </row>
    <row r="16" spans="1:9">
      <c r="A16" s="7" t="s">
        <v>48</v>
      </c>
      <c r="B16" s="7" t="s">
        <v>46</v>
      </c>
      <c r="C16" s="7" t="s">
        <v>21</v>
      </c>
      <c r="D16" s="7" t="s">
        <v>47</v>
      </c>
      <c r="E16" s="7" t="s">
        <v>47</v>
      </c>
      <c r="F16" s="8">
        <v>100</v>
      </c>
      <c r="G16" s="8">
        <v>65</v>
      </c>
      <c r="H16" s="9">
        <f>G16-F16</f>
        <v>-35</v>
      </c>
      <c r="I16" s="10">
        <f>IF(F16=0,"",(G16-F16)/F16)</f>
        <v>-0.35</v>
      </c>
    </row>
    <row r="17" spans="1:9">
      <c r="A17" s="7" t="s">
        <v>49</v>
      </c>
      <c r="B17" s="7" t="s">
        <v>46</v>
      </c>
      <c r="C17" s="7" t="s">
        <v>21</v>
      </c>
      <c r="D17" s="7" t="s">
        <v>50</v>
      </c>
      <c r="E17" s="7" t="s">
        <v>51</v>
      </c>
      <c r="F17" s="8">
        <v>130</v>
      </c>
      <c r="G17" s="8">
        <v>77</v>
      </c>
      <c r="H17" s="9">
        <f>G17-F17</f>
        <v>-53</v>
      </c>
      <c r="I17" s="10">
        <f>IF(F17=0,"",(G17-F17)/F17)</f>
        <v>-0.40769230769230769</v>
      </c>
    </row>
    <row r="18" spans="1:9">
      <c r="A18" s="7" t="s">
        <v>52</v>
      </c>
      <c r="B18" s="7" t="s">
        <v>43</v>
      </c>
      <c r="C18" s="7" t="s">
        <v>21</v>
      </c>
      <c r="D18" s="7" t="s">
        <v>47</v>
      </c>
      <c r="E18" s="7" t="s">
        <v>47</v>
      </c>
      <c r="F18" s="8">
        <v>129</v>
      </c>
      <c r="G18" s="8">
        <v>158</v>
      </c>
      <c r="H18" s="9">
        <f>G18-F18</f>
        <v>29</v>
      </c>
      <c r="I18" s="10">
        <f>IF(F18=0,"",(G18-F18)/F18)</f>
        <v>0.22480620155038761</v>
      </c>
    </row>
    <row r="19" spans="1:9">
      <c r="A19" s="7" t="s">
        <v>53</v>
      </c>
      <c r="B19" s="7" t="s">
        <v>20</v>
      </c>
      <c r="C19" s="7" t="s">
        <v>21</v>
      </c>
      <c r="D19" s="7" t="s">
        <v>31</v>
      </c>
      <c r="E19" s="7" t="s">
        <v>31</v>
      </c>
      <c r="F19" s="8">
        <v>50</v>
      </c>
      <c r="G19" s="8">
        <v>77</v>
      </c>
      <c r="H19" s="9">
        <f>G19-F19</f>
        <v>27</v>
      </c>
      <c r="I19" s="10">
        <f>IF(F19=0,"",(G19-F19)/F19)</f>
        <v>0.54</v>
      </c>
    </row>
    <row r="20" spans="1:9">
      <c r="A20" s="7" t="s">
        <v>54</v>
      </c>
      <c r="B20" s="7" t="s">
        <v>20</v>
      </c>
      <c r="C20" s="7" t="s">
        <v>21</v>
      </c>
      <c r="D20" s="7" t="s">
        <v>31</v>
      </c>
      <c r="E20" s="7" t="s">
        <v>31</v>
      </c>
      <c r="F20" s="8">
        <v>50</v>
      </c>
      <c r="G20" s="8">
        <v>62</v>
      </c>
      <c r="H20" s="9">
        <f>G20-F20</f>
        <v>12</v>
      </c>
      <c r="I20" s="10">
        <f>IF(F20=0,"",(G20-F20)/F20)</f>
        <v>0.24</v>
      </c>
    </row>
    <row r="21" spans="1:9">
      <c r="A21" s="7" t="s">
        <v>55</v>
      </c>
      <c r="B21" s="7" t="s">
        <v>20</v>
      </c>
      <c r="C21" s="7" t="s">
        <v>21</v>
      </c>
      <c r="D21" s="7" t="s">
        <v>31</v>
      </c>
      <c r="E21" s="7" t="s">
        <v>31</v>
      </c>
      <c r="F21" s="8">
        <v>50</v>
      </c>
      <c r="G21" s="8">
        <v>48</v>
      </c>
      <c r="H21" s="9">
        <f>G21-F21</f>
        <v>-2</v>
      </c>
      <c r="I21" s="10">
        <f>IF(F21=0,"",(G21-F21)/F21)</f>
        <v>-0.04</v>
      </c>
    </row>
    <row r="22" spans="1:9">
      <c r="A22" s="7" t="s">
        <v>56</v>
      </c>
      <c r="B22" s="7" t="s">
        <v>20</v>
      </c>
      <c r="C22" s="7" t="s">
        <v>21</v>
      </c>
      <c r="D22" s="7" t="s">
        <v>31</v>
      </c>
      <c r="E22" s="7" t="s">
        <v>31</v>
      </c>
      <c r="F22" s="8">
        <v>50</v>
      </c>
      <c r="G22" s="8">
        <v>45</v>
      </c>
      <c r="H22" s="9">
        <f>G22-F22</f>
        <v>-5</v>
      </c>
      <c r="I22" s="10">
        <f>IF(F22=0,"",(G22-F22)/F22)</f>
        <v>-0.1</v>
      </c>
    </row>
    <row r="23" spans="1:9">
      <c r="A23" s="7" t="s">
        <v>57</v>
      </c>
      <c r="B23" s="7" t="s">
        <v>20</v>
      </c>
      <c r="C23" s="7" t="s">
        <v>21</v>
      </c>
      <c r="D23" s="7" t="s">
        <v>31</v>
      </c>
      <c r="E23" s="7" t="s">
        <v>31</v>
      </c>
      <c r="F23" s="8">
        <v>50</v>
      </c>
      <c r="G23" s="8">
        <v>69</v>
      </c>
      <c r="H23" s="9">
        <f>G23-F23</f>
        <v>19</v>
      </c>
      <c r="I23" s="10">
        <f>IF(F23=0,"",(G23-F23)/F23)</f>
        <v>0.38</v>
      </c>
    </row>
    <row r="24" spans="1:9">
      <c r="A24" s="7" t="s">
        <v>58</v>
      </c>
      <c r="B24" s="7" t="s">
        <v>20</v>
      </c>
      <c r="C24" s="7" t="s">
        <v>21</v>
      </c>
      <c r="D24" s="7" t="s">
        <v>30</v>
      </c>
      <c r="E24" s="7" t="s">
        <v>31</v>
      </c>
      <c r="F24" s="8">
        <v>50</v>
      </c>
      <c r="G24" s="8">
        <v>98</v>
      </c>
      <c r="H24" s="9">
        <f>G24-F24</f>
        <v>48</v>
      </c>
      <c r="I24" s="10">
        <f>IF(F24=0,"",(G24-F24)/F24)</f>
        <v>0.96</v>
      </c>
    </row>
    <row r="25" spans="1:9">
      <c r="A25" s="7" t="s">
        <v>59</v>
      </c>
      <c r="B25" s="7" t="s">
        <v>36</v>
      </c>
      <c r="C25" s="7" t="s">
        <v>21</v>
      </c>
      <c r="D25" s="7" t="s">
        <v>47</v>
      </c>
      <c r="E25" s="7" t="s">
        <v>47</v>
      </c>
      <c r="F25" s="8">
        <v>343</v>
      </c>
      <c r="G25" s="8">
        <v>349</v>
      </c>
      <c r="H25" s="9">
        <f>G25-F25</f>
        <v>6</v>
      </c>
      <c r="I25" s="10">
        <f>IF(F25=0,"",(G25-F25)/F25)</f>
        <v>1.7492711370262391E-2</v>
      </c>
    </row>
    <row r="26" spans="1:9">
      <c r="A26" s="7" t="s">
        <v>60</v>
      </c>
      <c r="B26" s="7" t="s">
        <v>43</v>
      </c>
      <c r="C26" s="7" t="s">
        <v>21</v>
      </c>
      <c r="D26" s="7" t="s">
        <v>47</v>
      </c>
      <c r="E26" s="7" t="s">
        <v>47</v>
      </c>
      <c r="F26" s="8">
        <v>200</v>
      </c>
      <c r="G26" s="8">
        <v>188</v>
      </c>
      <c r="H26" s="9">
        <f>G26-F26</f>
        <v>-12</v>
      </c>
      <c r="I26" s="10">
        <f>IF(F26=0,"",(G26-F26)/F26)</f>
        <v>-0.06</v>
      </c>
    </row>
    <row r="27" spans="1:9">
      <c r="A27" s="7" t="s">
        <v>61</v>
      </c>
      <c r="B27" s="7" t="s">
        <v>43</v>
      </c>
      <c r="C27" s="7" t="s">
        <v>21</v>
      </c>
      <c r="D27" s="7" t="s">
        <v>62</v>
      </c>
      <c r="E27" s="7" t="s">
        <v>63</v>
      </c>
      <c r="F27" s="8">
        <v>120</v>
      </c>
      <c r="G27" s="8">
        <v>135</v>
      </c>
      <c r="H27" s="9">
        <f>G27-F27</f>
        <v>15</v>
      </c>
      <c r="I27" s="10">
        <f>IF(F27=0,"",(G27-F27)/F27)</f>
        <v>0.125</v>
      </c>
    </row>
    <row r="28" spans="1:9">
      <c r="A28" s="7" t="s">
        <v>64</v>
      </c>
      <c r="B28" s="7" t="s">
        <v>36</v>
      </c>
      <c r="C28" s="7" t="s">
        <v>21</v>
      </c>
      <c r="D28" s="7" t="s">
        <v>65</v>
      </c>
      <c r="E28" s="7" t="s">
        <v>65</v>
      </c>
      <c r="F28" s="8">
        <v>200</v>
      </c>
      <c r="G28" s="8">
        <v>189</v>
      </c>
      <c r="H28" s="9">
        <f>G28-F28</f>
        <v>-11</v>
      </c>
      <c r="I28" s="10">
        <f>IF(F28=0,"",(G28-F28)/F28)</f>
        <v>-5.5E-2</v>
      </c>
    </row>
    <row r="29" spans="1:9">
      <c r="A29" s="11" t="s">
        <v>66</v>
      </c>
      <c r="B29" s="11" t="s">
        <v>36</v>
      </c>
      <c r="C29" s="11" t="s">
        <v>67</v>
      </c>
      <c r="D29" s="11" t="s">
        <v>68</v>
      </c>
      <c r="E29" s="11" t="s">
        <v>69</v>
      </c>
      <c r="F29" s="12">
        <v>0</v>
      </c>
      <c r="G29" s="12">
        <v>33</v>
      </c>
      <c r="H29" s="13">
        <f>G29-F29</f>
        <v>33</v>
      </c>
      <c r="I29" s="14" t="str">
        <f>IF(F29=0,"",(G29-F29)/F29)</f>
        <v/>
      </c>
    </row>
    <row r="30" spans="1:9">
      <c r="A30" s="11" t="s">
        <v>70</v>
      </c>
      <c r="B30" s="11" t="s">
        <v>46</v>
      </c>
      <c r="C30" s="11" t="s">
        <v>67</v>
      </c>
      <c r="D30" s="11" t="s">
        <v>68</v>
      </c>
      <c r="E30" s="11" t="s">
        <v>47</v>
      </c>
      <c r="F30" s="12">
        <v>0</v>
      </c>
      <c r="G30" s="12">
        <v>149</v>
      </c>
      <c r="H30" s="13">
        <f>G30-F30</f>
        <v>149</v>
      </c>
      <c r="I30" s="14" t="str">
        <f>IF(F30=0,"",(G30-F30)/F30)</f>
        <v/>
      </c>
    </row>
    <row r="31" spans="1:9">
      <c r="A31" s="11" t="s">
        <v>71</v>
      </c>
      <c r="B31" s="11" t="s">
        <v>36</v>
      </c>
      <c r="C31" s="11" t="s">
        <v>67</v>
      </c>
      <c r="D31" s="11" t="s">
        <v>68</v>
      </c>
      <c r="E31" s="11" t="s">
        <v>22</v>
      </c>
      <c r="F31" s="12">
        <v>0</v>
      </c>
      <c r="G31" s="12">
        <v>28</v>
      </c>
      <c r="H31" s="13">
        <f>G31-F31</f>
        <v>28</v>
      </c>
      <c r="I31" s="14" t="str">
        <f>IF(F31=0,"",(G31-F31)/F31)</f>
        <v/>
      </c>
    </row>
    <row r="32" spans="1:9">
      <c r="A32" s="11" t="s">
        <v>72</v>
      </c>
      <c r="B32" s="11" t="s">
        <v>36</v>
      </c>
      <c r="C32" s="11" t="s">
        <v>67</v>
      </c>
      <c r="D32" s="11" t="s">
        <v>68</v>
      </c>
      <c r="E32" s="11" t="s">
        <v>69</v>
      </c>
      <c r="F32" s="12">
        <v>0</v>
      </c>
      <c r="G32" s="12">
        <v>100</v>
      </c>
      <c r="H32" s="13">
        <f>G32-F32</f>
        <v>100</v>
      </c>
      <c r="I32" s="14" t="str">
        <f>IF(F32=0,"",(G32-F32)/F32)</f>
        <v/>
      </c>
    </row>
    <row r="33" spans="1:9">
      <c r="A33" s="11" t="s">
        <v>73</v>
      </c>
      <c r="B33" s="11" t="s">
        <v>43</v>
      </c>
      <c r="C33" s="11" t="s">
        <v>67</v>
      </c>
      <c r="D33" s="11" t="s">
        <v>68</v>
      </c>
      <c r="E33" s="11" t="s">
        <v>47</v>
      </c>
      <c r="F33" s="12">
        <v>0</v>
      </c>
      <c r="G33" s="12">
        <v>49</v>
      </c>
      <c r="H33" s="13">
        <f>G33-F33</f>
        <v>49</v>
      </c>
      <c r="I33" s="14" t="str">
        <f>IF(F33=0,"",(G33-F33)/F33)</f>
        <v/>
      </c>
    </row>
    <row r="34" spans="1:9">
      <c r="A34" s="11" t="s">
        <v>74</v>
      </c>
      <c r="B34" s="11" t="s">
        <v>43</v>
      </c>
      <c r="C34" s="11" t="s">
        <v>67</v>
      </c>
      <c r="D34" s="11" t="s">
        <v>68</v>
      </c>
      <c r="E34" s="11" t="s">
        <v>47</v>
      </c>
      <c r="F34" s="12">
        <v>0</v>
      </c>
      <c r="G34" s="12">
        <v>75</v>
      </c>
      <c r="H34" s="13">
        <f>G34-F34</f>
        <v>75</v>
      </c>
      <c r="I34" s="14" t="str">
        <f>IF(F34=0,"",(G34-F34)/F34)</f>
        <v/>
      </c>
    </row>
    <row r="35" spans="1:9">
      <c r="A35" s="11" t="s">
        <v>75</v>
      </c>
      <c r="B35" s="11" t="s">
        <v>43</v>
      </c>
      <c r="C35" s="11" t="s">
        <v>67</v>
      </c>
      <c r="D35" s="11" t="s">
        <v>68</v>
      </c>
      <c r="E35" s="11" t="s">
        <v>51</v>
      </c>
      <c r="F35" s="12">
        <v>0</v>
      </c>
      <c r="G35" s="12">
        <v>40</v>
      </c>
      <c r="H35" s="13">
        <f>G35-F35</f>
        <v>40</v>
      </c>
      <c r="I35" s="14" t="str">
        <f>IF(F35=0,"",(G35-F35)/F35)</f>
        <v/>
      </c>
    </row>
    <row r="36" spans="1:9">
      <c r="A36" s="11" t="s">
        <v>76</v>
      </c>
      <c r="B36" s="11" t="s">
        <v>43</v>
      </c>
      <c r="C36" s="11" t="s">
        <v>67</v>
      </c>
      <c r="D36" s="11" t="s">
        <v>68</v>
      </c>
      <c r="E36" s="11" t="s">
        <v>51</v>
      </c>
      <c r="F36" s="12">
        <v>0</v>
      </c>
      <c r="G36" s="12">
        <v>74</v>
      </c>
      <c r="H36" s="13">
        <f>G36-F36</f>
        <v>74</v>
      </c>
      <c r="I36" s="14" t="str">
        <f>IF(F36=0,"",(G36-F36)/F36)</f>
        <v/>
      </c>
    </row>
    <row r="37" spans="1:9">
      <c r="A37" s="11" t="s">
        <v>77</v>
      </c>
      <c r="B37" s="11" t="s">
        <v>36</v>
      </c>
      <c r="C37" s="11" t="s">
        <v>67</v>
      </c>
      <c r="D37" s="11" t="s">
        <v>68</v>
      </c>
      <c r="E37" s="11" t="s">
        <v>47</v>
      </c>
      <c r="F37" s="12">
        <v>0</v>
      </c>
      <c r="G37" s="12">
        <v>95</v>
      </c>
      <c r="H37" s="13">
        <f>G37-F37</f>
        <v>95</v>
      </c>
      <c r="I37" s="14" t="str">
        <f>IF(F37=0,"",(G37-F37)/F37)</f>
        <v/>
      </c>
    </row>
    <row r="38" spans="1:9">
      <c r="A38" s="11" t="s">
        <v>78</v>
      </c>
      <c r="B38" s="11" t="s">
        <v>46</v>
      </c>
      <c r="C38" s="11" t="s">
        <v>67</v>
      </c>
      <c r="D38" s="11" t="s">
        <v>68</v>
      </c>
      <c r="E38" s="11" t="s">
        <v>47</v>
      </c>
      <c r="F38" s="12">
        <v>0</v>
      </c>
      <c r="G38" s="12">
        <v>53</v>
      </c>
      <c r="H38" s="13">
        <f>G38-F38</f>
        <v>53</v>
      </c>
      <c r="I38" s="14" t="str">
        <f>IF(F38=0,"",(G38-F38)/F38)</f>
        <v/>
      </c>
    </row>
    <row r="39" spans="1:9">
      <c r="A39" s="11" t="s">
        <v>79</v>
      </c>
      <c r="B39" s="11" t="s">
        <v>36</v>
      </c>
      <c r="C39" s="11" t="s">
        <v>67</v>
      </c>
      <c r="D39" s="11" t="s">
        <v>68</v>
      </c>
      <c r="E39" s="11" t="s">
        <v>80</v>
      </c>
      <c r="F39" s="12">
        <v>0</v>
      </c>
      <c r="G39" s="12">
        <v>131</v>
      </c>
      <c r="H39" s="13">
        <f>G39-F39</f>
        <v>131</v>
      </c>
      <c r="I39" s="14" t="str">
        <f>IF(F39=0,"",(G39-F39)/F39)</f>
        <v/>
      </c>
    </row>
    <row r="40" spans="1:9">
      <c r="A40" s="11" t="s">
        <v>81</v>
      </c>
      <c r="B40" s="11" t="s">
        <v>82</v>
      </c>
      <c r="C40" s="11" t="s">
        <v>67</v>
      </c>
      <c r="D40" s="11" t="s">
        <v>68</v>
      </c>
      <c r="E40" s="11" t="s">
        <v>47</v>
      </c>
      <c r="F40" s="12">
        <v>0</v>
      </c>
      <c r="G40" s="12">
        <v>159</v>
      </c>
      <c r="H40" s="13">
        <f>G40-F40</f>
        <v>159</v>
      </c>
      <c r="I40" s="14" t="str">
        <f>IF(F40=0,"",(G40-F40)/F40)</f>
        <v/>
      </c>
    </row>
    <row r="41" spans="1:9">
      <c r="A41" s="11" t="s">
        <v>83</v>
      </c>
      <c r="B41" s="11" t="s">
        <v>20</v>
      </c>
      <c r="C41" s="11" t="s">
        <v>67</v>
      </c>
      <c r="D41" s="11" t="s">
        <v>68</v>
      </c>
      <c r="E41" s="11" t="s">
        <v>31</v>
      </c>
      <c r="F41" s="12">
        <v>0</v>
      </c>
      <c r="G41" s="12">
        <v>109</v>
      </c>
      <c r="H41" s="13">
        <f>G41-F41</f>
        <v>109</v>
      </c>
      <c r="I41" s="14" t="str">
        <f>IF(F41=0,"",(G41-F41)/F41)</f>
        <v/>
      </c>
    </row>
    <row r="42" spans="1:9">
      <c r="A42" s="11" t="s">
        <v>84</v>
      </c>
      <c r="B42" s="11" t="s">
        <v>20</v>
      </c>
      <c r="C42" s="11" t="s">
        <v>67</v>
      </c>
      <c r="D42" s="11" t="s">
        <v>68</v>
      </c>
      <c r="E42" s="11" t="s">
        <v>31</v>
      </c>
      <c r="F42" s="12">
        <v>0</v>
      </c>
      <c r="G42" s="12">
        <v>74</v>
      </c>
      <c r="H42" s="13">
        <f>G42-F42</f>
        <v>74</v>
      </c>
      <c r="I42" s="14" t="str">
        <f>IF(F42=0,"",(G42-F42)/F42)</f>
        <v/>
      </c>
    </row>
    <row r="43" spans="1:9">
      <c r="A43" s="11" t="s">
        <v>85</v>
      </c>
      <c r="B43" s="11" t="s">
        <v>36</v>
      </c>
      <c r="C43" s="11" t="s">
        <v>67</v>
      </c>
      <c r="D43" s="11" t="s">
        <v>68</v>
      </c>
      <c r="E43" s="11" t="s">
        <v>51</v>
      </c>
      <c r="F43" s="12">
        <v>0</v>
      </c>
      <c r="G43" s="12">
        <v>18</v>
      </c>
      <c r="H43" s="13">
        <f>G43-F43</f>
        <v>18</v>
      </c>
      <c r="I43" s="14" t="str">
        <f>IF(F43=0,"",(G43-F43)/F43)</f>
        <v/>
      </c>
    </row>
    <row r="44" spans="1:9">
      <c r="A44" s="11" t="s">
        <v>86</v>
      </c>
      <c r="B44" s="11" t="s">
        <v>20</v>
      </c>
      <c r="C44" s="11" t="s">
        <v>67</v>
      </c>
      <c r="D44" s="11" t="s">
        <v>68</v>
      </c>
      <c r="E44" s="11" t="s">
        <v>87</v>
      </c>
      <c r="F44" s="12">
        <v>0</v>
      </c>
      <c r="G44" s="12">
        <v>50</v>
      </c>
      <c r="H44" s="13">
        <f>G44-F44</f>
        <v>50</v>
      </c>
      <c r="I44" s="14" t="str">
        <f>IF(F44=0,"",(G44-F44)/F44)</f>
        <v/>
      </c>
    </row>
    <row r="45" spans="1:9">
      <c r="A45" s="11" t="s">
        <v>88</v>
      </c>
      <c r="B45" s="11" t="s">
        <v>20</v>
      </c>
      <c r="C45" s="11" t="s">
        <v>67</v>
      </c>
      <c r="D45" s="11" t="s">
        <v>68</v>
      </c>
      <c r="E45" s="11" t="s">
        <v>31</v>
      </c>
      <c r="F45" s="12">
        <v>0</v>
      </c>
      <c r="G45" s="12">
        <v>26</v>
      </c>
      <c r="H45" s="13">
        <f>G45-F45</f>
        <v>26</v>
      </c>
      <c r="I45" s="14" t="str">
        <f>IF(F45=0,"",(G45-F45)/F45)</f>
        <v/>
      </c>
    </row>
    <row r="46" spans="1:9">
      <c r="A46" s="2" t="s">
        <v>89</v>
      </c>
      <c r="B46" s="2"/>
      <c r="C46" s="2"/>
      <c r="D46" s="2"/>
      <c r="E46" s="2"/>
      <c r="F46" s="15">
        <f>SUM(F2:F45)</f>
        <v>4179</v>
      </c>
      <c r="G46" s="15">
        <f>SUM(G2:G45)</f>
        <v>5667</v>
      </c>
      <c r="H46" s="15">
        <f>SUM(H2:H45)</f>
        <v>1488</v>
      </c>
      <c r="I46" s="16">
        <f>H46/F46</f>
        <v>0.35606604450825557</v>
      </c>
    </row>
  </sheetData>
  <conditionalFormatting sqref="I2:I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tabSelected="1" zoomScaleNormal="100" workbookViewId="0">
      <selection activeCell="C4" sqref="C4"/>
    </sheetView>
  </sheetViews>
  <sheetFormatPr defaultColWidth="8.7109375" defaultRowHeight="15"/>
  <cols>
    <col min="1" max="1" width="22" customWidth="1"/>
    <col min="2" max="3" width="15" customWidth="1"/>
    <col min="4" max="4" width="13" customWidth="1"/>
    <col min="5" max="5" width="11" customWidth="1"/>
  </cols>
  <sheetData>
    <row r="1" spans="1:5" ht="20.25">
      <c r="A1" s="17" t="s">
        <v>90</v>
      </c>
    </row>
    <row r="2" spans="1:5">
      <c r="A2" s="1" t="s">
        <v>91</v>
      </c>
    </row>
    <row r="4" spans="1:5">
      <c r="A4" s="18" t="s">
        <v>11</v>
      </c>
      <c r="B4" s="18" t="s">
        <v>92</v>
      </c>
      <c r="C4" s="18" t="s">
        <v>93</v>
      </c>
      <c r="D4" s="18" t="s">
        <v>17</v>
      </c>
      <c r="E4" s="18" t="s">
        <v>18</v>
      </c>
    </row>
    <row r="5" spans="1:5">
      <c r="A5" s="19" t="s">
        <v>43</v>
      </c>
      <c r="B5" s="20">
        <f>SUMIF(Data!B:B,A5,Data!F:F)</f>
        <v>633</v>
      </c>
      <c r="C5" s="20">
        <f>SUMIF(Data!B:B,A5,Data!G:G)</f>
        <v>929</v>
      </c>
      <c r="D5" s="20">
        <f>C5-B5</f>
        <v>296</v>
      </c>
      <c r="E5" s="21">
        <f>IF(B5=0,"",D5/B5)</f>
        <v>0.46761453396524488</v>
      </c>
    </row>
    <row r="6" spans="1:5">
      <c r="A6" s="19" t="s">
        <v>36</v>
      </c>
      <c r="B6" s="20">
        <f>SUMIF(Data!B:B,A6,Data!F:F)</f>
        <v>1493</v>
      </c>
      <c r="C6" s="20">
        <f>SUMIF(Data!B:B,A6,Data!G:G)</f>
        <v>1822</v>
      </c>
      <c r="D6" s="20">
        <f>C6-B6</f>
        <v>329</v>
      </c>
      <c r="E6" s="21">
        <f>IF(B6=0,"",D6/B6)</f>
        <v>0.22036168787675819</v>
      </c>
    </row>
    <row r="7" spans="1:5">
      <c r="A7" s="19" t="s">
        <v>24</v>
      </c>
      <c r="B7" s="20">
        <f>SUMIF(Data!B:B,A7,Data!F:F)</f>
        <v>1140</v>
      </c>
      <c r="C7" s="20">
        <f>SUMIF(Data!B:B,A7,Data!G:G)</f>
        <v>1250</v>
      </c>
      <c r="D7" s="20">
        <f>C7-B7</f>
        <v>110</v>
      </c>
      <c r="E7" s="21">
        <f>IF(B7=0,"",D7/B7)</f>
        <v>9.6491228070175433E-2</v>
      </c>
    </row>
    <row r="8" spans="1:5">
      <c r="A8" s="19" t="s">
        <v>82</v>
      </c>
      <c r="B8" s="20">
        <f>SUMIF(Data!B:B,A8,Data!F:F)</f>
        <v>0</v>
      </c>
      <c r="C8" s="20">
        <f>SUMIF(Data!B:B,A8,Data!G:G)</f>
        <v>159</v>
      </c>
      <c r="D8" s="20">
        <f>C8-B8</f>
        <v>159</v>
      </c>
      <c r="E8" s="21" t="str">
        <f>IF(B8=0,"",D8/B8)</f>
        <v/>
      </c>
    </row>
    <row r="9" spans="1:5">
      <c r="A9" s="19" t="s">
        <v>46</v>
      </c>
      <c r="B9" s="20">
        <f>SUMIF(Data!B:B,A9,Data!F:F)</f>
        <v>330</v>
      </c>
      <c r="C9" s="20">
        <f>SUMIF(Data!B:B,A9,Data!G:G)</f>
        <v>477</v>
      </c>
      <c r="D9" s="20">
        <f>C9-B9</f>
        <v>147</v>
      </c>
      <c r="E9" s="21">
        <f>IF(B9=0,"",D9/B9)</f>
        <v>0.44545454545454544</v>
      </c>
    </row>
    <row r="10" spans="1:5">
      <c r="A10" s="19" t="s">
        <v>20</v>
      </c>
      <c r="B10" s="20">
        <f>SUMIF(Data!B:B,A10,Data!F:F)</f>
        <v>583</v>
      </c>
      <c r="C10" s="20">
        <f>SUMIF(Data!B:B,A10,Data!G:G)</f>
        <v>1030</v>
      </c>
      <c r="D10" s="20">
        <f>C10-B10</f>
        <v>447</v>
      </c>
      <c r="E10" s="21">
        <f>IF(B10=0,"",D10/B10)</f>
        <v>0.76672384219554035</v>
      </c>
    </row>
    <row r="11" spans="1:5">
      <c r="A11" s="2" t="s">
        <v>89</v>
      </c>
      <c r="B11" s="15">
        <f>SUM(B5:B10)</f>
        <v>4179</v>
      </c>
      <c r="C11" s="15">
        <f>SUM(C5:C10)</f>
        <v>5667</v>
      </c>
      <c r="D11" s="15">
        <f>C11-B11</f>
        <v>1488</v>
      </c>
      <c r="E11" s="16">
        <f>D11/B11</f>
        <v>0.35606604450825557</v>
      </c>
    </row>
    <row r="14" spans="1:5">
      <c r="A14" s="22" t="s">
        <v>94</v>
      </c>
    </row>
    <row r="15" spans="1:5">
      <c r="A15" s="23" t="s">
        <v>12</v>
      </c>
      <c r="B15" s="23" t="s">
        <v>95</v>
      </c>
    </row>
    <row r="16" spans="1:5">
      <c r="A16" s="19" t="s">
        <v>21</v>
      </c>
      <c r="B16" s="20">
        <f>SUMIF(Data!C:C,"Planned",Data!G:G)</f>
        <v>4404</v>
      </c>
    </row>
    <row r="17" spans="1:2">
      <c r="A17" s="19" t="s">
        <v>67</v>
      </c>
      <c r="B17" s="20">
        <f>SUMIF(Data!C:C,"Unplanned",Data!G:G)</f>
        <v>1263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1</cp:revision>
  <dcterms:created xsi:type="dcterms:W3CDTF">2026-07-06T07:07:31Z</dcterms:created>
  <dcterms:modified xsi:type="dcterms:W3CDTF">2026-07-09T12:49:55Z</dcterms:modified>
  <cp:category/>
  <cp:contentStatus/>
</cp:coreProperties>
</file>